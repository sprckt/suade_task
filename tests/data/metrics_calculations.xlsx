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<sst xmlns="http://schemas.openxmlformats.org/spreadsheetml/2006/main" uniqueCount="30">
  <si>
    <t>Table 1</t>
  </si>
  <si>
    <t>order_id</t>
  </si>
  <si>
    <t>product_id</t>
  </si>
  <si>
    <t>product_description</t>
  </si>
  <si>
    <t>product_price</t>
  </si>
  <si>
    <t>product_vat_rate</t>
  </si>
  <si>
    <t>discount_rate</t>
  </si>
  <si>
    <t>quantity</t>
  </si>
  <si>
    <t>full_price_amount</t>
  </si>
  <si>
    <t>discounted_amount</t>
  </si>
  <si>
    <t>vat_amount</t>
  </si>
  <si>
    <t>total_amount</t>
  </si>
  <si>
    <t>commission rate</t>
  </si>
  <si>
    <t>commission amount</t>
  </si>
  <si>
    <t>promotion</t>
  </si>
  <si>
    <t>IBM 032</t>
  </si>
  <si>
    <t>IBM 003</t>
  </si>
  <si>
    <t>Deskjet 995c / 995ck</t>
  </si>
  <si>
    <t>Kodiaq</t>
  </si>
  <si>
    <t>GLA-Class</t>
  </si>
  <si>
    <t>A910/A910i</t>
  </si>
  <si>
    <t>Wrangler Unlimited/Wrangler 4 door</t>
  </si>
  <si>
    <t>Total items</t>
  </si>
  <si>
    <t>Customers</t>
  </si>
  <si>
    <t>Total discount</t>
  </si>
  <si>
    <t>Average discount</t>
  </si>
  <si>
    <t>Average order total</t>
  </si>
  <si>
    <t>Total amount of commissions</t>
  </si>
  <si>
    <t>Avg commission per orer</t>
  </si>
  <si>
    <t>Total commission per promotion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</si>
</sst>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2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N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" customWidth="1"/>
    <col min="15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s="4">
        <v>2</v>
      </c>
      <c r="B3" s="5">
        <v>794</v>
      </c>
      <c r="C3" t="s" s="6">
        <v>15</v>
      </c>
      <c r="D3" s="7">
        <v>10</v>
      </c>
      <c r="E3" s="7">
        <v>0.11</v>
      </c>
      <c r="F3" s="7">
        <v>0.1</v>
      </c>
      <c r="G3" s="7">
        <v>10</v>
      </c>
      <c r="H3" s="7">
        <f>D3*G3</f>
        <v>100</v>
      </c>
      <c r="I3" s="7">
        <f>H3*(1-F3)</f>
        <v>90</v>
      </c>
      <c r="J3" s="7">
        <f>E3*I3</f>
        <v>9.9</v>
      </c>
      <c r="K3" s="7">
        <f>I3+J3</f>
        <v>99.90000000000001</v>
      </c>
      <c r="L3" s="7">
        <v>0.27</v>
      </c>
      <c r="M3" s="7">
        <f>L3*K3</f>
        <v>26.973</v>
      </c>
      <c r="N3" s="7">
        <v>2</v>
      </c>
    </row>
    <row r="4" ht="20.05" customHeight="1">
      <c r="A4" s="8">
        <v>2</v>
      </c>
      <c r="B4" s="9">
        <v>780</v>
      </c>
      <c r="C4" t="s" s="10">
        <v>16</v>
      </c>
      <c r="D4" s="11">
        <v>20</v>
      </c>
      <c r="E4" s="11">
        <v>0.2</v>
      </c>
      <c r="F4" s="11">
        <v>0.2</v>
      </c>
      <c r="G4" s="11">
        <v>2</v>
      </c>
      <c r="H4" s="11">
        <f>D4*G4</f>
        <v>40</v>
      </c>
      <c r="I4" s="11">
        <f>H4*(1-F4)</f>
        <v>32</v>
      </c>
      <c r="J4" s="11">
        <f>E4*I4</f>
        <v>6.4</v>
      </c>
      <c r="K4" s="11">
        <f>I4+J4</f>
        <v>38.4</v>
      </c>
      <c r="L4" s="11">
        <v>0.27</v>
      </c>
      <c r="M4" s="11">
        <f>L4*K4</f>
        <v>10.368</v>
      </c>
      <c r="N4" s="11">
        <v>2</v>
      </c>
    </row>
    <row r="5" ht="32.05" customHeight="1">
      <c r="A5" s="8">
        <v>2</v>
      </c>
      <c r="B5" s="9">
        <v>521</v>
      </c>
      <c r="C5" t="s" s="10">
        <v>17</v>
      </c>
      <c r="D5" s="11">
        <v>30</v>
      </c>
      <c r="E5" s="11">
        <v>0.11</v>
      </c>
      <c r="F5" s="11">
        <v>0.3</v>
      </c>
      <c r="G5" s="11">
        <v>2</v>
      </c>
      <c r="H5" s="11">
        <f>D5*G5</f>
        <v>60</v>
      </c>
      <c r="I5" s="11">
        <f>H5*(1-F5)</f>
        <v>42</v>
      </c>
      <c r="J5" s="11">
        <f>E5*I5</f>
        <v>4.62</v>
      </c>
      <c r="K5" s="11">
        <f>I5+J5</f>
        <v>46.62</v>
      </c>
      <c r="L5" s="11">
        <v>0.27</v>
      </c>
      <c r="M5" s="11">
        <f>L5*K5</f>
        <v>12.5874</v>
      </c>
      <c r="N5" s="12"/>
    </row>
    <row r="6" ht="20.05" customHeight="1">
      <c r="A6" s="8">
        <v>3</v>
      </c>
      <c r="B6" s="9">
        <v>372</v>
      </c>
      <c r="C6" t="s" s="10">
        <v>18</v>
      </c>
      <c r="D6" s="11">
        <v>10</v>
      </c>
      <c r="E6" s="11">
        <v>0.11</v>
      </c>
      <c r="F6" s="11">
        <v>0.1</v>
      </c>
      <c r="G6" s="11">
        <v>10</v>
      </c>
      <c r="H6" s="11">
        <f>D6*G6</f>
        <v>100</v>
      </c>
      <c r="I6" s="11">
        <f>H6*(1-F6)</f>
        <v>90</v>
      </c>
      <c r="J6" s="11">
        <f>E6*I6</f>
        <v>9.9</v>
      </c>
      <c r="K6" s="11">
        <f>I6+J6</f>
        <v>99.90000000000001</v>
      </c>
      <c r="L6" s="11">
        <v>0.07000000000000001</v>
      </c>
      <c r="M6" s="11">
        <f>L6*K6</f>
        <v>6.993</v>
      </c>
      <c r="N6" s="12"/>
    </row>
    <row r="7" ht="20.05" customHeight="1">
      <c r="A7" s="8">
        <v>3</v>
      </c>
      <c r="B7" s="9">
        <v>316</v>
      </c>
      <c r="C7" t="s" s="10">
        <v>19</v>
      </c>
      <c r="D7" s="11">
        <v>20</v>
      </c>
      <c r="E7" s="11">
        <v>0.11</v>
      </c>
      <c r="F7" s="11">
        <v>0.2</v>
      </c>
      <c r="G7" s="11">
        <v>2</v>
      </c>
      <c r="H7" s="11">
        <f>D7*G7</f>
        <v>40</v>
      </c>
      <c r="I7" s="11">
        <f>H7*(1-F7)</f>
        <v>32</v>
      </c>
      <c r="J7" s="11">
        <f>E7*I7</f>
        <v>3.52</v>
      </c>
      <c r="K7" s="11">
        <f>I7+J7</f>
        <v>35.52</v>
      </c>
      <c r="L7" s="11">
        <v>0.07000000000000001</v>
      </c>
      <c r="M7" s="11">
        <f>L7*K7</f>
        <v>2.4864</v>
      </c>
      <c r="N7" s="11">
        <v>3</v>
      </c>
    </row>
    <row r="8" ht="20.05" customHeight="1">
      <c r="A8" s="8">
        <v>3</v>
      </c>
      <c r="B8" s="9">
        <v>843</v>
      </c>
      <c r="C8" t="s" s="10">
        <v>20</v>
      </c>
      <c r="D8" s="11">
        <v>30</v>
      </c>
      <c r="E8" s="11">
        <v>0.11</v>
      </c>
      <c r="F8" s="11">
        <v>0.3</v>
      </c>
      <c r="G8" s="11">
        <v>2</v>
      </c>
      <c r="H8" s="11">
        <f>D8*G8</f>
        <v>60</v>
      </c>
      <c r="I8" s="11">
        <f>H8*(1-F8)</f>
        <v>42</v>
      </c>
      <c r="J8" s="11">
        <f>E8*I8</f>
        <v>4.62</v>
      </c>
      <c r="K8" s="11">
        <f>I8+J8</f>
        <v>46.62</v>
      </c>
      <c r="L8" s="11">
        <v>0.07000000000000001</v>
      </c>
      <c r="M8" s="11">
        <f>L8*K8</f>
        <v>3.2634</v>
      </c>
      <c r="N8" s="11">
        <v>3</v>
      </c>
    </row>
    <row r="9" ht="32.05" customHeight="1">
      <c r="A9" s="8">
        <v>3</v>
      </c>
      <c r="B9" s="9">
        <v>266</v>
      </c>
      <c r="C9" t="s" s="10">
        <v>21</v>
      </c>
      <c r="D9" s="11">
        <v>40</v>
      </c>
      <c r="E9" s="11">
        <v>0</v>
      </c>
      <c r="F9" s="11">
        <v>0</v>
      </c>
      <c r="G9" s="11">
        <v>2</v>
      </c>
      <c r="H9" s="11">
        <f>D9*G9</f>
        <v>80</v>
      </c>
      <c r="I9" s="11">
        <f>H9*(1-F9)</f>
        <v>80</v>
      </c>
      <c r="J9" s="11">
        <f>E9*I9</f>
        <v>0</v>
      </c>
      <c r="K9" s="11">
        <f>I9+J9</f>
        <v>80</v>
      </c>
      <c r="L9" s="11">
        <v>0.07000000000000001</v>
      </c>
      <c r="M9" s="11">
        <f>L9*K9</f>
        <v>5.6</v>
      </c>
      <c r="N9" s="12"/>
    </row>
    <row r="10" ht="20.05" customHeight="1">
      <c r="A10" s="13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20.05" customHeight="1">
      <c r="A11" s="8">
        <v>1</v>
      </c>
      <c r="B11" t="s" s="15">
        <v>22</v>
      </c>
      <c r="C11" s="11">
        <f>SUM(G3:G9)</f>
        <v>30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ht="20.05" customHeight="1">
      <c r="A12" s="8">
        <v>2</v>
      </c>
      <c r="B12" t="s" s="15">
        <v>23</v>
      </c>
      <c r="C12" s="11">
        <v>2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ht="20.05" customHeight="1">
      <c r="A13" s="8">
        <v>3</v>
      </c>
      <c r="B13" t="s" s="15">
        <v>24</v>
      </c>
      <c r="C13" s="11">
        <f>SUM(H3:H9)-SUM(I3:I9)</f>
        <v>72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ht="20.05" customHeight="1">
      <c r="A14" s="8">
        <v>4</v>
      </c>
      <c r="B14" t="s" s="15">
        <v>25</v>
      </c>
      <c r="C14" s="11">
        <f>AVERAGE(F3:F8)</f>
        <v>0.2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ht="20.05" customHeight="1">
      <c r="A15" s="8">
        <v>5</v>
      </c>
      <c r="B15" t="s" s="15">
        <v>26</v>
      </c>
      <c r="C15" s="11">
        <f>(SUM(K3:K5)+SUM(K6:K9))/2</f>
        <v>223.48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ht="32.05" customHeight="1">
      <c r="A16" s="8">
        <v>6</v>
      </c>
      <c r="B16" t="s" s="15">
        <v>27</v>
      </c>
      <c r="C16" s="11">
        <f>SUM(M3:M9)</f>
        <v>68.27119999999999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ht="32.05" customHeight="1">
      <c r="A17" s="8">
        <v>7</v>
      </c>
      <c r="B17" t="s" s="15">
        <v>28</v>
      </c>
      <c r="C17" s="11">
        <f>C16/2</f>
        <v>34.1356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ht="32.05" customHeight="1">
      <c r="A18" s="8">
        <v>8</v>
      </c>
      <c r="B18" t="s" s="15">
        <v>29</v>
      </c>
      <c r="C18" s="11">
        <v>2</v>
      </c>
      <c r="D18" s="11">
        <f>SUM(M3:M4)</f>
        <v>37.341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ht="20.05" customHeight="1">
      <c r="A19" s="13"/>
      <c r="B19" s="14"/>
      <c r="C19" s="11">
        <v>3</v>
      </c>
      <c r="D19" s="11">
        <f>SUM(M7:M8)</f>
        <v>5.7498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ht="20.05" customHeight="1">
      <c r="A20" s="13"/>
      <c r="B20" s="14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ht="20.05" customHeight="1">
      <c r="A21" s="13"/>
      <c r="B21" s="14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ht="20.05" customHeight="1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